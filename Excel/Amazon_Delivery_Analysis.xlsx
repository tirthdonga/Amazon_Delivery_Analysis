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onga\Documents\Amazon_Delivery_Analysis\Excel\"/>
    </mc:Choice>
  </mc:AlternateContent>
  <xr:revisionPtr revIDLastSave="0" documentId="13_ncr:1_{EDD9B1B9-8BC9-4E10-85D6-114F8DE25EE0}" xr6:coauthVersionLast="47" xr6:coauthVersionMax="47" xr10:uidLastSave="{00000000-0000-0000-0000-000000000000}"/>
  <bookViews>
    <workbookView xWindow="-108" yWindow="-108" windowWidth="23256" windowHeight="12456" activeTab="4" xr2:uid="{0DAF1268-871B-4793-BF50-A73871AA9557}"/>
  </bookViews>
  <sheets>
    <sheet name="Raw" sheetId="1" r:id="rId1"/>
    <sheet name="Lookup" sheetId="2" r:id="rId2"/>
    <sheet name="Clean" sheetId="3" r:id="rId3"/>
    <sheet name="Summary" sheetId="4" r:id="rId4"/>
    <sheet name="Dashboard" sheetId="6" r:id="rId5"/>
  </sheets>
  <definedNames>
    <definedName name="Slicer_Month">#N/A</definedName>
    <definedName name="Slicer_Service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B4" i="4"/>
  <c r="B5" i="4"/>
  <c r="I2" i="3"/>
  <c r="I3" i="3"/>
  <c r="I4" i="3"/>
  <c r="I5" i="3"/>
  <c r="I6" i="3"/>
  <c r="I7" i="3"/>
  <c r="I8" i="3"/>
  <c r="I9" i="3"/>
  <c r="I10" i="3"/>
  <c r="I11" i="3"/>
  <c r="I12" i="3"/>
  <c r="I13" i="3"/>
  <c r="G2" i="3"/>
  <c r="H2" i="3"/>
  <c r="L2" i="3"/>
  <c r="H3" i="3"/>
  <c r="H4" i="3"/>
  <c r="H5" i="3"/>
  <c r="H6" i="3"/>
  <c r="H7" i="3"/>
  <c r="H8" i="3"/>
  <c r="H9" i="3"/>
  <c r="H10" i="3"/>
  <c r="H11" i="3"/>
  <c r="H12" i="3"/>
  <c r="H13" i="3"/>
  <c r="G3" i="3"/>
  <c r="G4" i="3"/>
  <c r="G5" i="3"/>
  <c r="G6" i="3"/>
  <c r="G7" i="3"/>
  <c r="G8" i="3"/>
  <c r="G9" i="3"/>
  <c r="G10" i="3"/>
  <c r="G11" i="3"/>
  <c r="G12" i="3"/>
  <c r="G13" i="3"/>
</calcChain>
</file>

<file path=xl/sharedStrings.xml><?xml version="1.0" encoding="utf-8"?>
<sst xmlns="http://schemas.openxmlformats.org/spreadsheetml/2006/main" count="131" uniqueCount="35">
  <si>
    <t>Jan</t>
  </si>
  <si>
    <t>R1</t>
  </si>
  <si>
    <t>Mumbai</t>
  </si>
  <si>
    <t>R2</t>
  </si>
  <si>
    <t>Chennai</t>
  </si>
  <si>
    <t>R3</t>
  </si>
  <si>
    <t>Delhi</t>
  </si>
  <si>
    <t>R4</t>
  </si>
  <si>
    <t>Feb</t>
  </si>
  <si>
    <t>Mar</t>
  </si>
  <si>
    <t>Total Rows</t>
  </si>
  <si>
    <t>Expected Rows</t>
  </si>
  <si>
    <t>Metro Link</t>
  </si>
  <si>
    <t>Express</t>
  </si>
  <si>
    <t>City Dash</t>
  </si>
  <si>
    <t>Highway Freight</t>
  </si>
  <si>
    <t>Standard</t>
  </si>
  <si>
    <t>Rural Feeder</t>
  </si>
  <si>
    <t>Route</t>
  </si>
  <si>
    <t>Route_id</t>
  </si>
  <si>
    <t>Record_id</t>
  </si>
  <si>
    <t>Month</t>
  </si>
  <si>
    <t>HUB</t>
  </si>
  <si>
    <t>Promised_Days</t>
  </si>
  <si>
    <t>Actual_Days</t>
  </si>
  <si>
    <t>Service_Type</t>
  </si>
  <si>
    <t>Delay_Days</t>
  </si>
  <si>
    <t>Expected_Rows</t>
  </si>
  <si>
    <t>Total_Rows</t>
  </si>
  <si>
    <t>Total  Delays Day By HUB</t>
  </si>
  <si>
    <t>Row Labels</t>
  </si>
  <si>
    <t>Grand Total</t>
  </si>
  <si>
    <t>Total Delays Days</t>
  </si>
  <si>
    <t>Months</t>
  </si>
  <si>
    <t>Sum of Delay_Days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</si>
</sst>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333333"/>
      <name val="Aptos Display"/>
      <family val="2"/>
      <scheme val="major"/>
    </font>
    <font>
      <sz val="11"/>
      <color theme="1"/>
      <name val="Aptos Display"/>
      <family val="2"/>
      <scheme val="major"/>
    </font>
    <font>
      <b/>
      <sz val="11"/>
      <color theme="1"/>
      <name val="Aptos Display"/>
      <family val="2"/>
      <scheme val="major"/>
    </font>
    <font>
      <b/>
      <sz val="11"/>
      <color theme="0"/>
      <name val="Aptos Display"/>
      <family val="2"/>
      <scheme val="major"/>
    </font>
    <font>
      <b/>
      <sz val="10"/>
      <color theme="0"/>
      <name val="Aptos Display"/>
      <family val="2"/>
      <scheme val="major"/>
    </font>
    <font>
      <sz val="11"/>
      <color rgb="FF000000"/>
      <name val="Arial"/>
      <family val="2"/>
    </font>
  </fonts>
  <fills count="3">
    <fill>
      <patternFill patternType="none"/>
    </fill>
    <fill>
      <patternFill patternType="gray125"/>
    </fill>
    <fill>
      <patternFill patternType="solid">
        <fgColor theme="7"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3"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2" xfId="0" applyFont="1" applyBorder="1" applyAlignment="1">
      <alignment horizontal="center" vertical="center"/>
    </xf>
    <xf numFmtId="0" fontId="4" fillId="0" borderId="3"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7" fillId="0" borderId="4" xfId="0" applyFont="1" applyBorder="1" applyAlignment="1">
      <alignment horizontal="center" vertical="center"/>
    </xf>
    <xf numFmtId="0" fontId="2" fillId="0" borderId="1"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6" fillId="0" borderId="0" xfId="0" applyFont="1" applyAlignment="1">
      <alignment horizontal="center" vertical="center"/>
    </xf>
    <xf numFmtId="2" fontId="7" fillId="0" borderId="4" xfId="0" applyNumberFormat="1" applyFont="1" applyBorder="1" applyAlignment="1">
      <alignment horizontal="center" vertical="center"/>
    </xf>
    <xf numFmtId="1" fontId="5" fillId="0" borderId="5" xfId="0" applyNumberFormat="1" applyFont="1" applyBorder="1" applyAlignment="1">
      <alignment horizontal="left" vertical="center"/>
    </xf>
    <xf numFmtId="1" fontId="5" fillId="0" borderId="6" xfId="0" applyNumberFormat="1" applyFont="1" applyBorder="1" applyAlignment="1">
      <alignment horizontal="center" vertical="center"/>
    </xf>
    <xf numFmtId="1" fontId="4" fillId="0" borderId="1" xfId="0" applyNumberFormat="1" applyFont="1" applyBorder="1" applyAlignment="1">
      <alignment horizontal="center" vertical="center"/>
    </xf>
    <xf numFmtId="1" fontId="0" fillId="0" borderId="0" xfId="0" applyNumberFormat="1"/>
    <xf numFmtId="49" fontId="5" fillId="0" borderId="5"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0" fillId="0" borderId="0" xfId="0" applyNumberFormat="1"/>
    <xf numFmtId="0" fontId="8" fillId="0" borderId="1" xfId="0" applyFont="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 xfId="0" pivotButton="1" applyBorder="1" applyAlignment="1">
      <alignment horizontal="center" vertical="center"/>
    </xf>
    <xf numFmtId="0" fontId="0" fillId="0" borderId="9" xfId="0" applyNumberFormat="1" applyBorder="1" applyAlignment="1">
      <alignment horizontal="center" vertical="center"/>
    </xf>
    <xf numFmtId="0" fontId="0" fillId="0" borderId="8" xfId="0" applyNumberFormat="1" applyBorder="1" applyAlignment="1">
      <alignment horizontal="center" vertical="center"/>
    </xf>
    <xf numFmtId="0" fontId="0" fillId="0" borderId="11" xfId="0" applyNumberFormat="1" applyBorder="1" applyAlignment="1">
      <alignment horizontal="center" vertical="center"/>
    </xf>
    <xf numFmtId="0" fontId="0" fillId="0" borderId="12" xfId="0" applyNumberFormat="1" applyBorder="1" applyAlignment="1">
      <alignment horizontal="center" vertical="center"/>
    </xf>
    <xf numFmtId="0" fontId="0" fillId="0" borderId="6" xfId="0" applyNumberFormat="1" applyBorder="1" applyAlignment="1">
      <alignment horizontal="center" vertical="center"/>
    </xf>
    <xf numFmtId="0" fontId="0" fillId="0" borderId="1" xfId="0" applyNumberFormat="1" applyBorder="1" applyAlignment="1">
      <alignment horizontal="center" vertical="center"/>
    </xf>
    <xf numFmtId="0" fontId="0" fillId="0" borderId="1" xfId="0" pivotButton="1" applyBorder="1"/>
    <xf numFmtId="0" fontId="0" fillId="0" borderId="12" xfId="0" applyNumberFormat="1" applyBorder="1"/>
    <xf numFmtId="0" fontId="0" fillId="0" borderId="5" xfId="0" applyNumberFormat="1" applyBorder="1"/>
    <xf numFmtId="0" fontId="0" fillId="0" borderId="11" xfId="0" applyBorder="1" applyAlignment="1">
      <alignment horizontal="left"/>
    </xf>
    <xf numFmtId="0" fontId="0" fillId="0" borderId="6" xfId="0" applyBorder="1" applyAlignment="1">
      <alignment horizontal="left"/>
    </xf>
    <xf numFmtId="0" fontId="0" fillId="0" borderId="2" xfId="0" applyBorder="1"/>
    <xf numFmtId="0" fontId="0" fillId="0" borderId="3"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10" xfId="0" applyNumberFormat="1" applyBorder="1" applyAlignment="1">
      <alignment horizontal="center" vertical="center"/>
    </xf>
    <xf numFmtId="0" fontId="0" fillId="0" borderId="0" xfId="0" applyNumberFormat="1" applyBorder="1" applyAlignment="1">
      <alignment horizontal="center" vertical="center"/>
    </xf>
    <xf numFmtId="0" fontId="0" fillId="0" borderId="13" xfId="0" applyNumberFormat="1" applyBorder="1" applyAlignment="1">
      <alignment horizontal="center" vertical="center"/>
    </xf>
    <xf numFmtId="0" fontId="1" fillId="2" borderId="9" xfId="0" applyFont="1" applyFill="1" applyBorder="1" applyAlignment="1">
      <alignment horizontal="center"/>
    </xf>
    <xf numFmtId="0" fontId="1" fillId="2" borderId="7" xfId="0" applyFont="1" applyFill="1" applyBorder="1" applyAlignment="1">
      <alignment horizontal="center"/>
    </xf>
  </cellXfs>
  <cellStyles count="1">
    <cellStyle name="Normal" xfId="0" builtinId="0"/>
  </cellStyles>
  <dxfs count="79">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alignment horizontal="center" vertical="center" textRotation="0" wrapText="0" indent="0" justifyLastLine="0" shrinkToFit="0" readingOrder="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top style="thin">
          <color indexed="64"/>
        </top>
      </border>
    </dxf>
    <dxf>
      <border>
        <left style="thin">
          <color indexed="64"/>
        </left>
      </border>
    </dxf>
    <dxf>
      <border>
        <left style="thin">
          <color indexed="64"/>
        </left>
      </border>
    </dxf>
    <dxf>
      <border>
        <left style="thin">
          <color indexed="64"/>
        </left>
      </border>
    </dxf>
    <dxf>
      <border>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Display"/>
        <family val="2"/>
        <scheme val="maj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333333"/>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10"/>
        <color rgb="FF333333"/>
        <name val="Aptos Display"/>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33333"/>
        <name val="Aptos Display"/>
        <family val="2"/>
        <scheme val="maj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Display"/>
        <family val="2"/>
        <scheme val="maj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[Amazon_Delivery_Analysis.xlsx]Summary!PivotTable1</c:name>
    <c:fmtId val="0"/>
  </c:pivotSource>
  <c:chart>
    <c:title>
      <c:tx>
        <c:rich>
          <a:bodyPr rot="0" spcFirstLastPara="1" vertOverflow="ellipsis" vert="horz" wrap="square" anchor="ctr" anchorCtr="1"/>
          <a:lstStyle/>
          <a:p>
            <a:pPr>
              <a:defRPr sz="1200" b="1" i="0" u="none" strike="noStrike" kern="1200" cap="all" spc="50" baseline="0">
                <a:solidFill>
                  <a:schemeClr val="dk1"/>
                </a:solidFill>
                <a:latin typeface="+mn-lt"/>
                <a:ea typeface="+mn-ea"/>
                <a:cs typeface="+mn-cs"/>
              </a:defRPr>
            </a:pPr>
            <a:r>
              <a:rPr lang="en-US" sz="1200"/>
              <a:t>Delays Day Per Month By Service Type</a:t>
            </a:r>
          </a:p>
        </c:rich>
      </c:tx>
      <c:layout>
        <c:manualLayout>
          <c:xMode val="edge"/>
          <c:yMode val="edge"/>
          <c:x val="0.21640169581346055"/>
          <c:y val="1.9428973817297232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dk1"/>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Summary!$E$2:$E$3</c:f>
              <c:strCache>
                <c:ptCount val="1"/>
                <c:pt idx="0">
                  <c:v>Jan</c:v>
                </c:pt>
              </c:strCache>
            </c:strRef>
          </c:tx>
          <c:spPr>
            <a:gradFill>
              <a:gsLst>
                <a:gs pos="100000">
                  <a:schemeClr val="accent1">
                    <a:alpha val="0"/>
                  </a:schemeClr>
                </a:gs>
                <a:gs pos="50000">
                  <a:schemeClr val="accent1"/>
                </a:gs>
              </a:gsLst>
              <a:lin ang="5400000" scaled="0"/>
            </a:gradFill>
            <a:ln>
              <a:noFill/>
            </a:ln>
            <a:effectLst/>
            <a:sp3d/>
          </c:spPr>
          <c:invertIfNegative val="0"/>
          <c:cat>
            <c:strRef>
              <c:f>Summary!$D$4:$D$6</c:f>
              <c:strCache>
                <c:ptCount val="2"/>
                <c:pt idx="0">
                  <c:v>Express</c:v>
                </c:pt>
                <c:pt idx="1">
                  <c:v>Standard</c:v>
                </c:pt>
              </c:strCache>
            </c:strRef>
          </c:cat>
          <c:val>
            <c:numRef>
              <c:f>Summary!$E$4:$E$6</c:f>
              <c:numCache>
                <c:formatCode>General</c:formatCode>
                <c:ptCount val="2"/>
                <c:pt idx="0">
                  <c:v>1</c:v>
                </c:pt>
                <c:pt idx="1">
                  <c:v>7</c:v>
                </c:pt>
              </c:numCache>
            </c:numRef>
          </c:val>
          <c:extLst>
            <c:ext xmlns:c16="http://schemas.microsoft.com/office/drawing/2014/chart" uri="{C3380CC4-5D6E-409C-BE32-E72D297353CC}">
              <c16:uniqueId val="{00000000-7984-4B10-8B7C-E1CC389170A1}"/>
            </c:ext>
          </c:extLst>
        </c:ser>
        <c:ser>
          <c:idx val="1"/>
          <c:order val="1"/>
          <c:tx>
            <c:strRef>
              <c:f>Summary!$F$2:$F$3</c:f>
              <c:strCache>
                <c:ptCount val="1"/>
                <c:pt idx="0">
                  <c:v>Feb</c:v>
                </c:pt>
              </c:strCache>
            </c:strRef>
          </c:tx>
          <c:spPr>
            <a:gradFill>
              <a:gsLst>
                <a:gs pos="100000">
                  <a:schemeClr val="accent2">
                    <a:alpha val="0"/>
                  </a:schemeClr>
                </a:gs>
                <a:gs pos="50000">
                  <a:schemeClr val="accent2"/>
                </a:gs>
              </a:gsLst>
              <a:lin ang="5400000" scaled="0"/>
            </a:gradFill>
            <a:ln>
              <a:noFill/>
            </a:ln>
            <a:effectLst/>
            <a:sp3d/>
          </c:spPr>
          <c:invertIfNegative val="0"/>
          <c:cat>
            <c:strRef>
              <c:f>Summary!$D$4:$D$6</c:f>
              <c:strCache>
                <c:ptCount val="2"/>
                <c:pt idx="0">
                  <c:v>Express</c:v>
                </c:pt>
                <c:pt idx="1">
                  <c:v>Standard</c:v>
                </c:pt>
              </c:strCache>
            </c:strRef>
          </c:cat>
          <c:val>
            <c:numRef>
              <c:f>Summary!$F$4:$F$6</c:f>
              <c:numCache>
                <c:formatCode>General</c:formatCode>
                <c:ptCount val="2"/>
                <c:pt idx="0">
                  <c:v>3</c:v>
                </c:pt>
                <c:pt idx="1">
                  <c:v>6</c:v>
                </c:pt>
              </c:numCache>
            </c:numRef>
          </c:val>
          <c:extLst>
            <c:ext xmlns:c16="http://schemas.microsoft.com/office/drawing/2014/chart" uri="{C3380CC4-5D6E-409C-BE32-E72D297353CC}">
              <c16:uniqueId val="{00000000-C70A-4BA7-AADC-85982F66D322}"/>
            </c:ext>
          </c:extLst>
        </c:ser>
        <c:ser>
          <c:idx val="2"/>
          <c:order val="2"/>
          <c:tx>
            <c:strRef>
              <c:f>Summary!$G$2:$G$3</c:f>
              <c:strCache>
                <c:ptCount val="1"/>
                <c:pt idx="0">
                  <c:v>Mar</c:v>
                </c:pt>
              </c:strCache>
            </c:strRef>
          </c:tx>
          <c:spPr>
            <a:gradFill>
              <a:gsLst>
                <a:gs pos="100000">
                  <a:schemeClr val="accent3">
                    <a:alpha val="0"/>
                  </a:schemeClr>
                </a:gs>
                <a:gs pos="50000">
                  <a:schemeClr val="accent3"/>
                </a:gs>
              </a:gsLst>
              <a:lin ang="5400000" scaled="0"/>
            </a:gradFill>
            <a:ln>
              <a:noFill/>
            </a:ln>
            <a:effectLst/>
            <a:sp3d/>
          </c:spPr>
          <c:invertIfNegative val="0"/>
          <c:cat>
            <c:strRef>
              <c:f>Summary!$D$4:$D$6</c:f>
              <c:strCache>
                <c:ptCount val="2"/>
                <c:pt idx="0">
                  <c:v>Express</c:v>
                </c:pt>
                <c:pt idx="1">
                  <c:v>Standard</c:v>
                </c:pt>
              </c:strCache>
            </c:strRef>
          </c:cat>
          <c:val>
            <c:numRef>
              <c:f>Summary!$G$4:$G$6</c:f>
              <c:numCache>
                <c:formatCode>General</c:formatCode>
                <c:ptCount val="2"/>
                <c:pt idx="0">
                  <c:v>8</c:v>
                </c:pt>
                <c:pt idx="1">
                  <c:v>9</c:v>
                </c:pt>
              </c:numCache>
            </c:numRef>
          </c:val>
          <c:extLst>
            <c:ext xmlns:c16="http://schemas.microsoft.com/office/drawing/2014/chart" uri="{C3380CC4-5D6E-409C-BE32-E72D297353CC}">
              <c16:uniqueId val="{00000001-C70A-4BA7-AADC-85982F66D322}"/>
            </c:ext>
          </c:extLst>
        </c:ser>
        <c:dLbls>
          <c:showLegendKey val="0"/>
          <c:showVal val="0"/>
          <c:showCatName val="0"/>
          <c:showSerName val="0"/>
          <c:showPercent val="0"/>
          <c:showBubbleSize val="0"/>
        </c:dLbls>
        <c:gapWidth val="150"/>
        <c:gapDepth val="0"/>
        <c:shape val="box"/>
        <c:axId val="824002096"/>
        <c:axId val="824008336"/>
        <c:axId val="0"/>
      </c:bar3DChart>
      <c:catAx>
        <c:axId val="82400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824008336"/>
        <c:crosses val="autoZero"/>
        <c:auto val="1"/>
        <c:lblAlgn val="ctr"/>
        <c:lblOffset val="100"/>
        <c:noMultiLvlLbl val="0"/>
      </c:catAx>
      <c:valAx>
        <c:axId val="8240083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82400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[Amazon_Delivery_Analysis.xlsx]Summary!PivotTable1</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Delays</a:t>
            </a:r>
            <a:r>
              <a:rPr lang="en-US" sz="1400" baseline="0"/>
              <a:t> Days Per Month By Service type</a:t>
            </a:r>
            <a:endParaRPr lang="en-US" sz="14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Summary!$E$2:$E$3</c:f>
              <c:strCache>
                <c:ptCount val="1"/>
                <c:pt idx="0">
                  <c:v>Jan</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Summary!$D$4:$D$6</c:f>
              <c:strCache>
                <c:ptCount val="2"/>
                <c:pt idx="0">
                  <c:v>Express</c:v>
                </c:pt>
                <c:pt idx="1">
                  <c:v>Standard</c:v>
                </c:pt>
              </c:strCache>
            </c:strRef>
          </c:cat>
          <c:val>
            <c:numRef>
              <c:f>Summary!$E$4:$E$6</c:f>
              <c:numCache>
                <c:formatCode>General</c:formatCode>
                <c:ptCount val="2"/>
                <c:pt idx="0">
                  <c:v>1</c:v>
                </c:pt>
                <c:pt idx="1">
                  <c:v>7</c:v>
                </c:pt>
              </c:numCache>
            </c:numRef>
          </c:val>
          <c:extLst>
            <c:ext xmlns:c16="http://schemas.microsoft.com/office/drawing/2014/chart" uri="{C3380CC4-5D6E-409C-BE32-E72D297353CC}">
              <c16:uniqueId val="{00000000-1C60-4527-8D4D-76B080115E57}"/>
            </c:ext>
          </c:extLst>
        </c:ser>
        <c:ser>
          <c:idx val="1"/>
          <c:order val="1"/>
          <c:tx>
            <c:strRef>
              <c:f>Summary!$F$2:$F$3</c:f>
              <c:strCache>
                <c:ptCount val="1"/>
                <c:pt idx="0">
                  <c:v>Feb</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Summary!$D$4:$D$6</c:f>
              <c:strCache>
                <c:ptCount val="2"/>
                <c:pt idx="0">
                  <c:v>Express</c:v>
                </c:pt>
                <c:pt idx="1">
                  <c:v>Standard</c:v>
                </c:pt>
              </c:strCache>
            </c:strRef>
          </c:cat>
          <c:val>
            <c:numRef>
              <c:f>Summary!$F$4:$F$6</c:f>
              <c:numCache>
                <c:formatCode>General</c:formatCode>
                <c:ptCount val="2"/>
                <c:pt idx="0">
                  <c:v>3</c:v>
                </c:pt>
                <c:pt idx="1">
                  <c:v>6</c:v>
                </c:pt>
              </c:numCache>
            </c:numRef>
          </c:val>
          <c:extLst>
            <c:ext xmlns:c16="http://schemas.microsoft.com/office/drawing/2014/chart" uri="{C3380CC4-5D6E-409C-BE32-E72D297353CC}">
              <c16:uniqueId val="{00000004-1C60-4527-8D4D-76B080115E57}"/>
            </c:ext>
          </c:extLst>
        </c:ser>
        <c:ser>
          <c:idx val="2"/>
          <c:order val="2"/>
          <c:tx>
            <c:strRef>
              <c:f>Summary!$G$2:$G$3</c:f>
              <c:strCache>
                <c:ptCount val="1"/>
                <c:pt idx="0">
                  <c:v>Mar</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Summary!$D$4:$D$6</c:f>
              <c:strCache>
                <c:ptCount val="2"/>
                <c:pt idx="0">
                  <c:v>Express</c:v>
                </c:pt>
                <c:pt idx="1">
                  <c:v>Standard</c:v>
                </c:pt>
              </c:strCache>
            </c:strRef>
          </c:cat>
          <c:val>
            <c:numRef>
              <c:f>Summary!$G$4:$G$6</c:f>
              <c:numCache>
                <c:formatCode>General</c:formatCode>
                <c:ptCount val="2"/>
                <c:pt idx="0">
                  <c:v>8</c:v>
                </c:pt>
                <c:pt idx="1">
                  <c:v>9</c:v>
                </c:pt>
              </c:numCache>
            </c:numRef>
          </c:val>
          <c:extLst>
            <c:ext xmlns:c16="http://schemas.microsoft.com/office/drawing/2014/chart" uri="{C3380CC4-5D6E-409C-BE32-E72D297353CC}">
              <c16:uniqueId val="{00000005-1C60-4527-8D4D-76B080115E57}"/>
            </c:ext>
          </c:extLst>
        </c:ser>
        <c:dLbls>
          <c:dLblPos val="outEnd"/>
          <c:showLegendKey val="0"/>
          <c:showVal val="1"/>
          <c:showCatName val="0"/>
          <c:showSerName val="0"/>
          <c:showPercent val="0"/>
          <c:showBubbleSize val="0"/>
        </c:dLbls>
        <c:gapWidth val="355"/>
        <c:overlap val="-70"/>
        <c:axId val="1249197087"/>
        <c:axId val="1249190367"/>
      </c:barChart>
      <c:catAx>
        <c:axId val="124919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49190367"/>
        <c:crosses val="autoZero"/>
        <c:auto val="1"/>
        <c:lblAlgn val="ctr"/>
        <c:lblOffset val="100"/>
        <c:noMultiLvlLbl val="0"/>
      </c:catAx>
      <c:valAx>
        <c:axId val="124919036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4919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[Amazon_Delivery_Analysis.xlsx]Summary!PivotTable2</c:name>
    <c:fmtId val="3"/>
  </c:pivotSource>
  <c:chart>
    <c:title>
      <c:tx>
        <c:rich>
          <a:bodyPr rot="0" spcFirstLastPara="1" vertOverflow="ellipsis" vert="horz" wrap="square" anchor="ctr" anchorCtr="1"/>
          <a:lstStyle/>
          <a:p>
            <a:pPr>
              <a:defRPr sz="1600" b="1" i="0" u="none" strike="noStrike" kern="1200" cap="none" spc="20" baseline="0">
                <a:solidFill>
                  <a:schemeClr val="tx1">
                    <a:lumMod val="65000"/>
                    <a:lumOff val="35000"/>
                  </a:schemeClr>
                </a:solidFill>
                <a:latin typeface="+mn-lt"/>
                <a:ea typeface="+mn-ea"/>
                <a:cs typeface="+mn-cs"/>
              </a:defRPr>
            </a:pPr>
            <a:r>
              <a:rPr lang="en-US" sz="1600" b="1">
                <a:solidFill>
                  <a:schemeClr val="tx1">
                    <a:lumMod val="65000"/>
                    <a:lumOff val="35000"/>
                  </a:schemeClr>
                </a:solidFill>
              </a:rPr>
              <a:t>DELAY DAYS PER MONTH</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Summary!$L$2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Summary!$K$3:$K$6</c:f>
              <c:strCache>
                <c:ptCount val="3"/>
                <c:pt idx="0">
                  <c:v>Jan</c:v>
                </c:pt>
                <c:pt idx="1">
                  <c:v>Feb</c:v>
                </c:pt>
                <c:pt idx="2">
                  <c:v>Mar</c:v>
                </c:pt>
              </c:strCache>
            </c:strRef>
          </c:cat>
          <c:val>
            <c:numRef>
              <c:f>Summary!$L$3:$L$6</c:f>
              <c:numCache>
                <c:formatCode>General</c:formatCode>
                <c:ptCount val="3"/>
                <c:pt idx="0">
                  <c:v>8</c:v>
                </c:pt>
                <c:pt idx="1">
                  <c:v>9</c:v>
                </c:pt>
                <c:pt idx="2">
                  <c:v>17</c:v>
                </c:pt>
              </c:numCache>
            </c:numRef>
          </c:val>
          <c:smooth val="0"/>
          <c:extLst>
            <c:ext xmlns:c16="http://schemas.microsoft.com/office/drawing/2014/chart" uri="{C3380CC4-5D6E-409C-BE32-E72D297353CC}">
              <c16:uniqueId val="{00000000-B3FE-41E1-A233-583230B458E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19128239"/>
        <c:axId val="1319122959"/>
      </c:lineChart>
      <c:catAx>
        <c:axId val="13191282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spc="20" baseline="0">
                <a:solidFill>
                  <a:schemeClr val="dk1">
                    <a:lumMod val="65000"/>
                    <a:lumOff val="35000"/>
                  </a:schemeClr>
                </a:solidFill>
                <a:latin typeface="+mn-lt"/>
                <a:ea typeface="+mn-ea"/>
                <a:cs typeface="+mn-cs"/>
              </a:defRPr>
            </a:pPr>
            <a:endParaRPr lang="en-US"/>
          </a:p>
        </c:txPr>
        <c:crossAx val="1319122959"/>
        <c:crosses val="autoZero"/>
        <c:auto val="1"/>
        <c:lblAlgn val="ctr"/>
        <c:lblOffset val="100"/>
        <c:noMultiLvlLbl val="0"/>
      </c:catAx>
      <c:valAx>
        <c:axId val="131912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spc="20" baseline="0">
                <a:solidFill>
                  <a:schemeClr val="dk1">
                    <a:lumMod val="65000"/>
                    <a:lumOff val="35000"/>
                  </a:schemeClr>
                </a:solidFill>
                <a:latin typeface="+mn-lt"/>
                <a:ea typeface="+mn-ea"/>
                <a:cs typeface="+mn-cs"/>
              </a:defRPr>
            </a:pPr>
            <a:endParaRPr lang="en-US"/>
          </a:p>
        </c:txPr>
        <c:crossAx val="131912823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7620</xdr:colOff>
      <xdr:row>6</xdr:row>
      <xdr:rowOff>22860</xdr:rowOff>
    </xdr:from>
    <xdr:to>
      <xdr:col>8</xdr:col>
      <xdr:colOff>601980</xdr:colOff>
      <xdr:row>23</xdr:row>
      <xdr:rowOff>38100</xdr:rowOff>
    </xdr:to>
    <xdr:graphicFrame macro="">
      <xdr:nvGraphicFramePr>
        <xdr:cNvPr id="2" name="Chart 1">
          <a:extLst>
            <a:ext uri="{FF2B5EF4-FFF2-40B4-BE49-F238E27FC236}">
              <a16:creationId xmlns:a16="http://schemas.microsoft.com/office/drawing/2014/main" id="{9CB7B6E8-C589-F035-45E4-954A6FBE0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555170</xdr:colOff>
      <xdr:row>41</xdr:row>
      <xdr:rowOff>92031</xdr:rowOff>
    </xdr:to>
    <xdr:pic>
      <xdr:nvPicPr>
        <xdr:cNvPr id="3" name="Picture 2">
          <a:extLst>
            <a:ext uri="{FF2B5EF4-FFF2-40B4-BE49-F238E27FC236}">
              <a16:creationId xmlns:a16="http://schemas.microsoft.com/office/drawing/2014/main" id="{AC1F537B-133C-0973-9B8B-CB4361BF5E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356770" cy="7782369"/>
        </a:xfrm>
        <a:prstGeom prst="rect">
          <a:avLst/>
        </a:prstGeom>
      </xdr:spPr>
    </xdr:pic>
    <xdr:clientData/>
  </xdr:twoCellAnchor>
  <xdr:oneCellAnchor>
    <xdr:from>
      <xdr:col>1</xdr:col>
      <xdr:colOff>435428</xdr:colOff>
      <xdr:row>0</xdr:row>
      <xdr:rowOff>87085</xdr:rowOff>
    </xdr:from>
    <xdr:ext cx="3962401" cy="468013"/>
    <xdr:sp macro="" textlink="">
      <xdr:nvSpPr>
        <xdr:cNvPr id="4" name="TextBox 3">
          <a:extLst>
            <a:ext uri="{FF2B5EF4-FFF2-40B4-BE49-F238E27FC236}">
              <a16:creationId xmlns:a16="http://schemas.microsoft.com/office/drawing/2014/main" id="{BA127017-5A5C-F001-4D2B-B687F0EC0F21}"/>
            </a:ext>
          </a:extLst>
        </xdr:cNvPr>
        <xdr:cNvSpPr txBox="1"/>
      </xdr:nvSpPr>
      <xdr:spPr>
        <a:xfrm>
          <a:off x="1045028" y="87085"/>
          <a:ext cx="396240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Amazon_Delivery_OverView</a:t>
          </a:r>
        </a:p>
      </xdr:txBody>
    </xdr:sp>
    <xdr:clientData/>
  </xdr:oneCellAnchor>
  <xdr:twoCellAnchor>
    <xdr:from>
      <xdr:col>4</xdr:col>
      <xdr:colOff>43543</xdr:colOff>
      <xdr:row>12</xdr:row>
      <xdr:rowOff>108856</xdr:rowOff>
    </xdr:from>
    <xdr:to>
      <xdr:col>12</xdr:col>
      <xdr:colOff>413657</xdr:colOff>
      <xdr:row>40</xdr:row>
      <xdr:rowOff>54428</xdr:rowOff>
    </xdr:to>
    <xdr:graphicFrame macro="">
      <xdr:nvGraphicFramePr>
        <xdr:cNvPr id="6" name="Chart 5">
          <a:extLst>
            <a:ext uri="{FF2B5EF4-FFF2-40B4-BE49-F238E27FC236}">
              <a16:creationId xmlns:a16="http://schemas.microsoft.com/office/drawing/2014/main" id="{3E04E757-1DE7-436B-8385-2FEFEEA86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566058</xdr:colOff>
      <xdr:row>12</xdr:row>
      <xdr:rowOff>87085</xdr:rowOff>
    </xdr:from>
    <xdr:to>
      <xdr:col>21</xdr:col>
      <xdr:colOff>315686</xdr:colOff>
      <xdr:row>40</xdr:row>
      <xdr:rowOff>43542</xdr:rowOff>
    </xdr:to>
    <xdr:graphicFrame macro="">
      <xdr:nvGraphicFramePr>
        <xdr:cNvPr id="7" name="Chart 6">
          <a:extLst>
            <a:ext uri="{FF2B5EF4-FFF2-40B4-BE49-F238E27FC236}">
              <a16:creationId xmlns:a16="http://schemas.microsoft.com/office/drawing/2014/main" id="{AEE45EDC-1AB8-4A25-B9F7-31EBAFEBB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24</xdr:col>
      <xdr:colOff>108857</xdr:colOff>
      <xdr:row>24</xdr:row>
      <xdr:rowOff>163286</xdr:rowOff>
    </xdr:from>
    <xdr:ext cx="1872343" cy="696686"/>
    <xdr:sp macro="" textlink="">
      <xdr:nvSpPr>
        <xdr:cNvPr id="8" name="TextBox 7">
          <a:extLst>
            <a:ext uri="{FF2B5EF4-FFF2-40B4-BE49-F238E27FC236}">
              <a16:creationId xmlns:a16="http://schemas.microsoft.com/office/drawing/2014/main" id="{36984A92-E777-C0E4-B675-708569C13E78}"/>
            </a:ext>
          </a:extLst>
        </xdr:cNvPr>
        <xdr:cNvSpPr txBox="1"/>
      </xdr:nvSpPr>
      <xdr:spPr>
        <a:xfrm>
          <a:off x="14739257" y="4604657"/>
          <a:ext cx="1872343" cy="696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5</xdr:col>
      <xdr:colOff>152401</xdr:colOff>
      <xdr:row>5</xdr:row>
      <xdr:rowOff>108856</xdr:rowOff>
    </xdr:from>
    <xdr:to>
      <xdr:col>8</xdr:col>
      <xdr:colOff>489858</xdr:colOff>
      <xdr:row>10</xdr:row>
      <xdr:rowOff>43543</xdr:rowOff>
    </xdr:to>
    <xdr:sp macro="" textlink="">
      <xdr:nvSpPr>
        <xdr:cNvPr id="10" name="TextBox 9">
          <a:extLst>
            <a:ext uri="{FF2B5EF4-FFF2-40B4-BE49-F238E27FC236}">
              <a16:creationId xmlns:a16="http://schemas.microsoft.com/office/drawing/2014/main" id="{A299BBFA-CA1F-E0AB-45CA-E4552CBFF694}"/>
            </a:ext>
          </a:extLst>
        </xdr:cNvPr>
        <xdr:cNvSpPr txBox="1"/>
      </xdr:nvSpPr>
      <xdr:spPr>
        <a:xfrm>
          <a:off x="3200401" y="1034142"/>
          <a:ext cx="2166257" cy="859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Delivery Count</a:t>
          </a:r>
        </a:p>
        <a:p>
          <a:pPr algn="l"/>
          <a:r>
            <a:rPr lang="en-US" sz="2400" b="1"/>
            <a:t>   12</a:t>
          </a:r>
          <a:br>
            <a:rPr lang="en-US" sz="2400" b="1"/>
          </a:br>
          <a:endParaRPr lang="en-US" sz="2400" b="1"/>
        </a:p>
      </xdr:txBody>
    </xdr:sp>
    <xdr:clientData/>
  </xdr:twoCellAnchor>
  <xdr:twoCellAnchor>
    <xdr:from>
      <xdr:col>11</xdr:col>
      <xdr:colOff>119743</xdr:colOff>
      <xdr:row>5</xdr:row>
      <xdr:rowOff>76199</xdr:rowOff>
    </xdr:from>
    <xdr:to>
      <xdr:col>15</xdr:col>
      <xdr:colOff>32658</xdr:colOff>
      <xdr:row>10</xdr:row>
      <xdr:rowOff>10886</xdr:rowOff>
    </xdr:to>
    <xdr:sp macro="" textlink="">
      <xdr:nvSpPr>
        <xdr:cNvPr id="13" name="TextBox 12">
          <a:extLst>
            <a:ext uri="{FF2B5EF4-FFF2-40B4-BE49-F238E27FC236}">
              <a16:creationId xmlns:a16="http://schemas.microsoft.com/office/drawing/2014/main" id="{3E7798E0-0296-4303-93E4-E83241C5DDA0}"/>
            </a:ext>
          </a:extLst>
        </xdr:cNvPr>
        <xdr:cNvSpPr txBox="1"/>
      </xdr:nvSpPr>
      <xdr:spPr>
        <a:xfrm>
          <a:off x="6825343" y="1001485"/>
          <a:ext cx="2351315" cy="859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Delay Days</a:t>
          </a:r>
        </a:p>
        <a:p>
          <a:pPr algn="l"/>
          <a:r>
            <a:rPr lang="en-US" sz="2400" b="1" baseline="0"/>
            <a:t>  34</a:t>
          </a:r>
          <a:endParaRPr lang="en-US" sz="2400" b="1"/>
        </a:p>
      </xdr:txBody>
    </xdr:sp>
    <xdr:clientData/>
  </xdr:twoCellAnchor>
  <xdr:twoCellAnchor>
    <xdr:from>
      <xdr:col>16</xdr:col>
      <xdr:colOff>239486</xdr:colOff>
      <xdr:row>5</xdr:row>
      <xdr:rowOff>87085</xdr:rowOff>
    </xdr:from>
    <xdr:to>
      <xdr:col>21</xdr:col>
      <xdr:colOff>130628</xdr:colOff>
      <xdr:row>10</xdr:row>
      <xdr:rowOff>21772</xdr:rowOff>
    </xdr:to>
    <xdr:sp macro="" textlink="">
      <xdr:nvSpPr>
        <xdr:cNvPr id="15" name="TextBox 14">
          <a:extLst>
            <a:ext uri="{FF2B5EF4-FFF2-40B4-BE49-F238E27FC236}">
              <a16:creationId xmlns:a16="http://schemas.microsoft.com/office/drawing/2014/main" id="{6F3CF180-D2CB-493B-8FD2-A7B730E7B613}"/>
            </a:ext>
          </a:extLst>
        </xdr:cNvPr>
        <xdr:cNvSpPr txBox="1"/>
      </xdr:nvSpPr>
      <xdr:spPr>
        <a:xfrm>
          <a:off x="9993086" y="1012371"/>
          <a:ext cx="2939142" cy="859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t>Delay Incedence Rate</a:t>
          </a:r>
        </a:p>
        <a:p>
          <a:pPr algn="l"/>
          <a:r>
            <a:rPr lang="en-US" sz="2400" b="1" baseline="0"/>
            <a:t>  75%</a:t>
          </a:r>
          <a:endParaRPr lang="en-US" sz="2400" b="1"/>
        </a:p>
      </xdr:txBody>
    </xdr:sp>
    <xdr:clientData/>
  </xdr:twoCellAnchor>
  <xdr:twoCellAnchor editAs="oneCell">
    <xdr:from>
      <xdr:col>4</xdr:col>
      <xdr:colOff>152400</xdr:colOff>
      <xdr:row>6</xdr:row>
      <xdr:rowOff>97971</xdr:rowOff>
    </xdr:from>
    <xdr:to>
      <xdr:col>5</xdr:col>
      <xdr:colOff>76200</xdr:colOff>
      <xdr:row>9</xdr:row>
      <xdr:rowOff>76200</xdr:rowOff>
    </xdr:to>
    <xdr:pic>
      <xdr:nvPicPr>
        <xdr:cNvPr id="17" name="Picture 16">
          <a:extLst>
            <a:ext uri="{FF2B5EF4-FFF2-40B4-BE49-F238E27FC236}">
              <a16:creationId xmlns:a16="http://schemas.microsoft.com/office/drawing/2014/main" id="{BC09EBAF-D3C8-EB9F-F283-4D708C94B2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90800" y="1208314"/>
          <a:ext cx="533400" cy="533400"/>
        </a:xfrm>
        <a:prstGeom prst="rect">
          <a:avLst/>
        </a:prstGeom>
      </xdr:spPr>
    </xdr:pic>
    <xdr:clientData/>
  </xdr:twoCellAnchor>
  <xdr:twoCellAnchor editAs="oneCell">
    <xdr:from>
      <xdr:col>10</xdr:col>
      <xdr:colOff>87086</xdr:colOff>
      <xdr:row>6</xdr:row>
      <xdr:rowOff>99724</xdr:rowOff>
    </xdr:from>
    <xdr:to>
      <xdr:col>11</xdr:col>
      <xdr:colOff>32657</xdr:colOff>
      <xdr:row>9</xdr:row>
      <xdr:rowOff>99724</xdr:rowOff>
    </xdr:to>
    <xdr:pic>
      <xdr:nvPicPr>
        <xdr:cNvPr id="19" name="Picture 18">
          <a:extLst>
            <a:ext uri="{FF2B5EF4-FFF2-40B4-BE49-F238E27FC236}">
              <a16:creationId xmlns:a16="http://schemas.microsoft.com/office/drawing/2014/main" id="{F5E720C4-470A-4A24-5C62-A04607135F5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83086" y="1210067"/>
          <a:ext cx="555171" cy="555171"/>
        </a:xfrm>
        <a:prstGeom prst="rect">
          <a:avLst/>
        </a:prstGeom>
      </xdr:spPr>
    </xdr:pic>
    <xdr:clientData/>
  </xdr:twoCellAnchor>
  <xdr:twoCellAnchor editAs="oneCell">
    <xdr:from>
      <xdr:col>0</xdr:col>
      <xdr:colOff>478971</xdr:colOff>
      <xdr:row>0</xdr:row>
      <xdr:rowOff>87087</xdr:rowOff>
    </xdr:from>
    <xdr:to>
      <xdr:col>1</xdr:col>
      <xdr:colOff>348342</xdr:colOff>
      <xdr:row>3</xdr:row>
      <xdr:rowOff>10887</xdr:rowOff>
    </xdr:to>
    <xdr:pic>
      <xdr:nvPicPr>
        <xdr:cNvPr id="21" name="Picture 20">
          <a:extLst>
            <a:ext uri="{FF2B5EF4-FFF2-40B4-BE49-F238E27FC236}">
              <a16:creationId xmlns:a16="http://schemas.microsoft.com/office/drawing/2014/main" id="{8D713381-28C6-35A2-28C4-537EC8E533D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8971" y="87087"/>
          <a:ext cx="478971" cy="478971"/>
        </a:xfrm>
        <a:prstGeom prst="rect">
          <a:avLst/>
        </a:prstGeom>
      </xdr:spPr>
    </xdr:pic>
    <xdr:clientData/>
  </xdr:twoCellAnchor>
  <xdr:twoCellAnchor editAs="oneCell">
    <xdr:from>
      <xdr:col>0</xdr:col>
      <xdr:colOff>290947</xdr:colOff>
      <xdr:row>10</xdr:row>
      <xdr:rowOff>174169</xdr:rowOff>
    </xdr:from>
    <xdr:to>
      <xdr:col>3</xdr:col>
      <xdr:colOff>290947</xdr:colOff>
      <xdr:row>19</xdr:row>
      <xdr:rowOff>87085</xdr:rowOff>
    </xdr:to>
    <mc:AlternateContent xmlns:mc="http://schemas.openxmlformats.org/markup-compatibility/2006" xmlns:a14="http://schemas.microsoft.com/office/drawing/2010/main">
      <mc:Choice Requires="a14">
        <xdr:graphicFrame macro="">
          <xdr:nvGraphicFramePr>
            <xdr:cNvPr id="22" name="Service_Type">
              <a:extLst>
                <a:ext uri="{FF2B5EF4-FFF2-40B4-BE49-F238E27FC236}">
                  <a16:creationId xmlns:a16="http://schemas.microsoft.com/office/drawing/2014/main" id="{6AAE551F-95CD-4F8C-B3EE-F5796F1B6DCB}"/>
                </a:ext>
              </a:extLst>
            </xdr:cNvPr>
            <xdr:cNvGraphicFramePr/>
          </xdr:nvGraphicFramePr>
          <xdr:xfrm>
            <a:off x="0" y="0"/>
            <a:ext cx="0" cy="0"/>
          </xdr:xfrm>
          <a:graphic>
            <a:graphicData uri="http://schemas.microsoft.com/office/drawing/2010/slicer">
              <sle:slicer xmlns:sle="http://schemas.microsoft.com/office/drawing/2010/slicer" name="Service_Type"/>
            </a:graphicData>
          </a:graphic>
        </xdr:graphicFrame>
      </mc:Choice>
      <mc:Fallback xmlns="">
        <xdr:sp macro="" textlink="">
          <xdr:nvSpPr>
            <xdr:cNvPr id="0" name=""/>
            <xdr:cNvSpPr>
              <a:spLocks noTextEdit="1"/>
            </xdr:cNvSpPr>
          </xdr:nvSpPr>
          <xdr:spPr>
            <a:xfrm>
              <a:off x="290947" y="2049861"/>
              <a:ext cx="1828800" cy="160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20</xdr:row>
      <xdr:rowOff>83128</xdr:rowOff>
    </xdr:from>
    <xdr:to>
      <xdr:col>3</xdr:col>
      <xdr:colOff>304800</xdr:colOff>
      <xdr:row>32</xdr:row>
      <xdr:rowOff>55419</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8C48F894-20A8-44EA-B4A6-83ED62650E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800" y="3834513"/>
              <a:ext cx="1828800" cy="2223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D" refreshedDate="46298.442486921296" createdVersion="8" refreshedVersion="8" minRefreshableVersion="3" recordCount="12" xr:uid="{D9D75BEB-72AA-488D-9DD8-19A68C765B62}">
  <cacheSource type="worksheet">
    <worksheetSource name="clean"/>
  </cacheSource>
  <cacheFields count="9">
    <cacheField name="Record_id" numFmtId="0">
      <sharedItems containsSemiMixedTypes="0" containsString="0" containsNumber="1" containsInteger="1" minValue="1" maxValue="12"/>
    </cacheField>
    <cacheField name="Month" numFmtId="49">
      <sharedItems count="3">
        <s v="Jan"/>
        <s v="Feb"/>
        <s v="Mar"/>
      </sharedItems>
    </cacheField>
    <cacheField name="Route_id" numFmtId="0">
      <sharedItems/>
    </cacheField>
    <cacheField name="HUB" numFmtId="0">
      <sharedItems/>
    </cacheField>
    <cacheField name="Promised_Days" numFmtId="1">
      <sharedItems containsSemiMixedTypes="0" containsString="0" containsNumber="1" containsInteger="1" minValue="2" maxValue="6"/>
    </cacheField>
    <cacheField name="Actual_Days" numFmtId="1">
      <sharedItems containsSemiMixedTypes="0" containsString="0" containsNumber="1" containsInteger="1" minValue="2" maxValue="15"/>
    </cacheField>
    <cacheField name="Service_Type" numFmtId="0">
      <sharedItems count="2">
        <s v="Express"/>
        <s v="Standard"/>
      </sharedItems>
    </cacheField>
    <cacheField name="Delay_Days" numFmtId="0">
      <sharedItems containsSemiMixedTypes="0" containsString="0" containsNumber="1" containsInteger="1" minValue="0" maxValue="9"/>
    </cacheField>
    <cacheField name="Route" numFmtId="0">
      <sharedItems/>
    </cacheField>
  </cacheFields>
  <extLst>
    <ext xmlns:x14="http://schemas.microsoft.com/office/spreadsheetml/2009/9/main" uri="{725AE2AE-9491-48be-B2B4-4EB974FC3084}">
      <x14:pivotCacheDefinition pivotCacheId="100271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s v="R1"/>
    <s v="Mumbai"/>
    <n v="2"/>
    <n v="2"/>
    <x v="0"/>
    <n v="0"/>
    <s v="Metro Link"/>
  </r>
  <r>
    <n v="2"/>
    <x v="0"/>
    <s v="R2"/>
    <s v="Chennai"/>
    <n v="3"/>
    <n v="4"/>
    <x v="0"/>
    <n v="1"/>
    <s v="City Dash"/>
  </r>
  <r>
    <n v="3"/>
    <x v="0"/>
    <s v="R3"/>
    <s v="Delhi"/>
    <n v="5"/>
    <n v="8"/>
    <x v="1"/>
    <n v="3"/>
    <s v="Highway Freight"/>
  </r>
  <r>
    <n v="4"/>
    <x v="0"/>
    <s v="R4"/>
    <s v="Mumbai"/>
    <n v="6"/>
    <n v="10"/>
    <x v="1"/>
    <n v="4"/>
    <s v="Rural Feeder"/>
  </r>
  <r>
    <n v="5"/>
    <x v="1"/>
    <s v="R1"/>
    <s v="Chennai"/>
    <n v="2"/>
    <n v="5"/>
    <x v="0"/>
    <n v="3"/>
    <s v="Metro Link"/>
  </r>
  <r>
    <n v="6"/>
    <x v="1"/>
    <s v="R2"/>
    <s v="Delhi"/>
    <n v="3"/>
    <n v="3"/>
    <x v="0"/>
    <n v="0"/>
    <s v="City Dash"/>
  </r>
  <r>
    <n v="7"/>
    <x v="1"/>
    <s v="R3"/>
    <s v="Delhi"/>
    <n v="5"/>
    <n v="10"/>
    <x v="1"/>
    <n v="5"/>
    <s v="Highway Freight"/>
  </r>
  <r>
    <n v="8"/>
    <x v="1"/>
    <s v="R4"/>
    <s v="Chennai"/>
    <n v="6"/>
    <n v="7"/>
    <x v="1"/>
    <n v="1"/>
    <s v="Rural Feeder"/>
  </r>
  <r>
    <n v="9"/>
    <x v="2"/>
    <s v="R1"/>
    <s v="Delhi"/>
    <n v="2"/>
    <n v="8"/>
    <x v="0"/>
    <n v="6"/>
    <s v="Metro Link"/>
  </r>
  <r>
    <n v="10"/>
    <x v="2"/>
    <s v="R2"/>
    <s v="Mumbai"/>
    <n v="3"/>
    <n v="5"/>
    <x v="0"/>
    <n v="2"/>
    <s v="City Dash"/>
  </r>
  <r>
    <n v="11"/>
    <x v="2"/>
    <s v="R3"/>
    <s v="Chennai"/>
    <n v="5"/>
    <n v="5"/>
    <x v="1"/>
    <n v="0"/>
    <s v="Highway Freight"/>
  </r>
  <r>
    <n v="12"/>
    <x v="2"/>
    <s v="R4"/>
    <s v="Mumbai"/>
    <n v="6"/>
    <n v="15"/>
    <x v="1"/>
    <n v="9"/>
    <s v="Rural Fee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212D4-179E-4644-8E22-57F1C09F1A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L6" firstHeaderRow="1" firstDataRow="1" firstDataCol="1"/>
  <pivotFields count="9">
    <pivotField showAll="0"/>
    <pivotField axis="axisRow" showAll="0">
      <items count="4">
        <item x="0"/>
        <item x="1"/>
        <item x="2"/>
        <item t="default"/>
      </items>
    </pivotField>
    <pivotField showAll="0"/>
    <pivotField showAll="0"/>
    <pivotField numFmtId="1" showAll="0"/>
    <pivotField numFmtId="1" showAll="0"/>
    <pivotField showAll="0"/>
    <pivotField dataField="1" showAll="0"/>
    <pivotField showAll="0"/>
  </pivotFields>
  <rowFields count="1">
    <field x="1"/>
  </rowFields>
  <rowItems count="4">
    <i>
      <x/>
    </i>
    <i>
      <x v="1"/>
    </i>
    <i>
      <x v="2"/>
    </i>
    <i t="grand">
      <x/>
    </i>
  </rowItems>
  <colItems count="1">
    <i/>
  </colItems>
  <dataFields count="1">
    <dataField name="Sum of Delay_Days" fld="7" baseField="0" baseItem="0"/>
  </dataFields>
  <formats count="6">
    <format dxfId="9">
      <pivotArea field="1" type="button" dataOnly="0" labelOnly="1" outline="0" axis="axisRow" fieldPosition="0"/>
    </format>
    <format dxfId="8">
      <pivotArea dataOnly="0" labelOnly="1" outline="0" axis="axisValues" fieldPosition="0"/>
    </format>
    <format dxfId="7">
      <pivotArea outline="0" collapsedLevelsAreSubtotals="1" fieldPosition="0"/>
    </format>
    <format dxfId="6">
      <pivotArea outline="0" collapsedLevelsAreSubtotals="1" fieldPosition="0"/>
    </format>
    <format dxfId="5">
      <pivotArea dataOnly="0" labelOnly="1" fieldPosition="0">
        <references count="1">
          <reference field="1" count="0"/>
        </references>
      </pivotArea>
    </format>
    <format dxfId="4">
      <pivotArea dataOnly="0" labelOnly="1" grandRow="1" outline="0"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F41C1-8BB3-4D04-8001-DD5719CA4E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colHeaderCaption="Months">
  <location ref="D2:H6" firstHeaderRow="1" firstDataRow="2" firstDataCol="1"/>
  <pivotFields count="9">
    <pivotField showAll="0"/>
    <pivotField axis="axisCol" showAll="0">
      <items count="4">
        <item x="0"/>
        <item x="1"/>
        <item x="2"/>
        <item t="default"/>
      </items>
    </pivotField>
    <pivotField showAll="0"/>
    <pivotField showAll="0"/>
    <pivotField numFmtId="1" showAll="0"/>
    <pivotField numFmtId="1" showAll="0"/>
    <pivotField axis="axisRow" showAll="0">
      <items count="3">
        <item x="0"/>
        <item x="1"/>
        <item t="default"/>
      </items>
    </pivotField>
    <pivotField dataField="1" showAll="0"/>
    <pivotField showAll="0"/>
  </pivotFields>
  <rowFields count="1">
    <field x="6"/>
  </rowFields>
  <rowItems count="3">
    <i>
      <x/>
    </i>
    <i>
      <x v="1"/>
    </i>
    <i t="grand">
      <x/>
    </i>
  </rowItems>
  <colFields count="1">
    <field x="1"/>
  </colFields>
  <colItems count="4">
    <i>
      <x/>
    </i>
    <i>
      <x v="1"/>
    </i>
    <i>
      <x v="2"/>
    </i>
    <i t="grand">
      <x/>
    </i>
  </colItems>
  <dataFields count="1">
    <dataField name="Total Delays Days" fld="7" baseField="0" baseItem="0"/>
  </dataFields>
  <formats count="41">
    <format dxfId="50">
      <pivotArea type="all" dataOnly="0" outline="0" fieldPosition="0"/>
    </format>
    <format dxfId="49">
      <pivotArea outline="0" collapsedLevelsAreSubtotals="1" fieldPosition="0"/>
    </format>
    <format dxfId="48">
      <pivotArea type="origin" dataOnly="0" labelOnly="1" outline="0" fieldPosition="0"/>
    </format>
    <format dxfId="47">
      <pivotArea field="1" type="button" dataOnly="0" labelOnly="1" outline="0" axis="axisCol" fieldPosition="0"/>
    </format>
    <format dxfId="46">
      <pivotArea type="topRight" dataOnly="0" labelOnly="1" outline="0"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fieldPosition="0">
        <references count="1">
          <reference field="1" count="0"/>
        </references>
      </pivotArea>
    </format>
    <format dxfId="41">
      <pivotArea dataOnly="0" labelOnly="1" grandCol="1" outline="0" fieldPosition="0"/>
    </format>
    <format dxfId="40">
      <pivotArea type="origin" dataOnly="0" labelOnly="1" outline="0" fieldPosition="0"/>
    </format>
    <format dxfId="39">
      <pivotArea field="1" type="button" dataOnly="0" labelOnly="1" outline="0" axis="axisCol" fieldPosition="0"/>
    </format>
    <format dxfId="38">
      <pivotArea dataOnly="0" labelOnly="1" fieldPosition="0">
        <references count="1">
          <reference field="1" count="1">
            <x v="0"/>
          </reference>
        </references>
      </pivotArea>
    </format>
    <format dxfId="37">
      <pivotArea field="6" type="button" dataOnly="0" labelOnly="1" outline="0" axis="axisRow" fieldPosition="0"/>
    </format>
    <format dxfId="36">
      <pivotArea dataOnly="0" labelOnly="1" fieldPosition="0">
        <references count="1">
          <reference field="1" count="1">
            <x v="1"/>
          </reference>
        </references>
      </pivotArea>
    </format>
    <format dxfId="35">
      <pivotArea dataOnly="0" labelOnly="1" fieldPosition="0">
        <references count="1">
          <reference field="1" count="1">
            <x v="2"/>
          </reference>
        </references>
      </pivotArea>
    </format>
    <format dxfId="34">
      <pivotArea dataOnly="0" labelOnly="1" grandCol="1" outline="0" fieldPosition="0"/>
    </format>
    <format dxfId="33">
      <pivotArea outline="0" collapsedLevelsAreSubtotals="1" fieldPosition="0">
        <references count="1">
          <reference field="1" count="2" selected="0">
            <x v="1"/>
            <x v="2"/>
          </reference>
        </references>
      </pivotArea>
    </format>
    <format dxfId="32">
      <pivotArea grandCol="1" outline="0" collapsedLevelsAreSubtotals="1" fieldPosition="0"/>
    </format>
    <format dxfId="31">
      <pivotArea outline="0" collapsedLevelsAreSubtotals="1" fieldPosition="0"/>
    </format>
    <format dxfId="30">
      <pivotArea grandRow="1" grandCol="1" outline="0" collapsedLevelsAreSubtotals="1"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1" type="button" dataOnly="0" labelOnly="1" outline="0" axis="axisCol" fieldPosition="0"/>
    </format>
    <format dxfId="25">
      <pivotArea type="topRight" dataOnly="0" labelOnly="1" outline="0"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grandRow="1" outline="0" fieldPosition="0"/>
    </format>
    <format dxfId="21">
      <pivotArea dataOnly="0" labelOnly="1" fieldPosition="0">
        <references count="1">
          <reference field="1"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grandRow="1" outline="0" fieldPosition="0"/>
    </format>
    <format dxfId="11">
      <pivotArea dataOnly="0" labelOnly="1" fieldPosition="0">
        <references count="1">
          <reference field="1" count="0"/>
        </references>
      </pivotArea>
    </format>
    <format dxfId="10">
      <pivotArea dataOnly="0" labelOnly="1" grandCol="1" outline="0"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3" format="6"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4C0C75E6-DCBB-49FA-9857-F03F4DD9DB33}" sourceName="Service_Type">
  <pivotTables>
    <pivotTable tabId="4" name="PivotTable1"/>
  </pivotTables>
  <data>
    <tabular pivotCacheId="1002717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B47903-4844-4EFF-8B31-C60C7948559D}" sourceName="Month">
  <pivotTables>
    <pivotTable tabId="4" name="PivotTable2"/>
    <pivotTable tabId="4" name="PivotTable1"/>
  </pivotTables>
  <data>
    <tabular pivotCacheId="1002717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_Type" xr10:uid="{2460D88A-B803-4186-9488-EFEB06FDD090}" cache="Slicer_Service_Type" caption="Service_Type" rowHeight="548640"/>
  <slicer name="Month" xr10:uid="{ABF74CBC-DE12-446B-B1DD-A08547A79282}" cache="Slicer_Month" caption="Month"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D84D8A-4974-4F01-84BA-FAF5A34B800B}" name="raw" displayName="raw" ref="A1:F14" totalsRowShown="0" headerRowDxfId="78" dataDxfId="76" headerRowBorderDxfId="77" tableBorderDxfId="75" totalsRowBorderDxfId="74">
  <autoFilter ref="A1:F14" xr:uid="{A1D84D8A-4974-4F01-84BA-FAF5A34B800B}"/>
  <tableColumns count="6">
    <tableColumn id="1" xr3:uid="{8A29CCD5-6F7E-4194-A130-8405234CA197}" name="Record_id" dataDxfId="73"/>
    <tableColumn id="2" xr3:uid="{5D0E7868-A5AB-49C2-9D1A-73ED2BACBC15}" name="Month" dataDxfId="72"/>
    <tableColumn id="3" xr3:uid="{B521D67A-190C-4D16-BFBA-1A5EA14B3EC5}" name="Route_id" dataDxfId="71"/>
    <tableColumn id="4" xr3:uid="{662D17C2-795F-4F0F-B604-FE07F25BC30D}" name="HUB" dataDxfId="70"/>
    <tableColumn id="5" xr3:uid="{D6466A36-7FD4-4467-96B9-D88B3B66EF3B}" name="Promised_Days" dataDxfId="69"/>
    <tableColumn id="6" xr3:uid="{C34E55EB-DA8D-4057-AC57-A1831D09BE43}" name="Actual_Days" dataDxfId="6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F6343-B4F7-4DB0-9AA6-41BC650E5CF2}" name="lookup" displayName="lookup" ref="A1:C5" totalsRowShown="0">
  <autoFilter ref="A1:C5" xr:uid="{FD5F6343-B4F7-4DB0-9AA6-41BC650E5CF2}"/>
  <tableColumns count="3">
    <tableColumn id="1" xr3:uid="{57FB891F-8D48-4023-B5DE-904388E22344}" name="Route_id" dataDxfId="67"/>
    <tableColumn id="2" xr3:uid="{942D2EB0-B2ED-40DA-90DB-8E8709F46EED}" name="Route" dataDxfId="66"/>
    <tableColumn id="3" xr3:uid="{8AF79C35-9716-4B20-9718-D9D75D75E421}" name="Service_Type" dataDxfId="6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E89A22-B85E-4709-8DE7-C6BD1B546840}" name="clean" displayName="clean" ref="A1:I13" totalsRowShown="0" headerRowDxfId="64" dataDxfId="62" headerRowBorderDxfId="63" tableBorderDxfId="61" totalsRowBorderDxfId="60">
  <autoFilter ref="A1:I13" xr:uid="{C9E89A22-B85E-4709-8DE7-C6BD1B546840}"/>
  <tableColumns count="9">
    <tableColumn id="1" xr3:uid="{03D83C69-E09B-4D6F-A931-9215831AB485}" name="Record_id" dataDxfId="59"/>
    <tableColumn id="2" xr3:uid="{811DAFCB-B0E6-4838-BC7A-CC758E28DBCC}" name="Month" dataDxfId="58"/>
    <tableColumn id="3" xr3:uid="{CC393245-C6D1-4AFF-954A-DC0D2A8983F9}" name="Route_id" dataDxfId="57"/>
    <tableColumn id="4" xr3:uid="{1A3C55CE-E183-4063-9FF1-7465D34EFF0D}" name="HUB" dataDxfId="56"/>
    <tableColumn id="5" xr3:uid="{923B9AF3-B9F8-4914-8B69-887E5300DF0B}" name="Promised_Days" dataDxfId="55"/>
    <tableColumn id="6" xr3:uid="{F11348C1-CC7F-487F-A893-847A915D152E}" name="Actual_Days" dataDxfId="54"/>
    <tableColumn id="7" xr3:uid="{C1A6F8F5-8172-4687-9F08-BF84909AE77E}" name="Service_Type" dataDxfId="53">
      <calculatedColumnFormula>INDEX(lookup[Service_Type],MATCH(C2,lookup[Route_id],0))</calculatedColumnFormula>
    </tableColumn>
    <tableColumn id="8" xr3:uid="{8751EC36-D8FC-47C2-B3FF-CF08C5591548}" name="Delay_Days" dataDxfId="52">
      <calculatedColumnFormula>MAX(clean[[#This Row],[Actual_Days]]-clean[[#This Row],[Promised_Days]],0)</calculatedColumnFormula>
    </tableColumn>
    <tableColumn id="9" xr3:uid="{CFD81865-F0CA-4CAB-B47B-6D5A29E4FC98}" name="Route" dataDxfId="51">
      <calculatedColumnFormula>INDEX(lookup[Route],MATCH(C2,lookup[Route_id],0))</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9C4A1E-4661-4BD4-9138-57BA859C3399}" name="Table4" displayName="Table4" ref="A2:B5" totalsRowShown="0" dataDxfId="3" tableBorderDxfId="2">
  <autoFilter ref="A2:B5" xr:uid="{CE9C4A1E-4661-4BD4-9138-57BA859C3399}"/>
  <tableColumns count="2">
    <tableColumn id="1" xr3:uid="{44F94961-F5CB-42EC-8921-62F97D86A89C}" name="HUB" dataDxfId="1"/>
    <tableColumn id="2" xr3:uid="{246B343D-8075-45AE-A94E-AAAF502EDFAA}" name="Delay_Days" dataDxfId="0">
      <calculatedColumnFormula>SUMIF(clean[HUB], Table4[[#This Row],[HUB]], clean[Delay_Days])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05D3-A806-4AB2-8263-5F53AD09AAA4}">
  <dimension ref="A1:I14"/>
  <sheetViews>
    <sheetView zoomScale="130" zoomScaleNormal="130" workbookViewId="0">
      <selection activeCell="B8" sqref="B8"/>
    </sheetView>
  </sheetViews>
  <sheetFormatPr defaultRowHeight="14.4" x14ac:dyDescent="0.3"/>
  <cols>
    <col min="1" max="4" width="15.5546875" customWidth="1"/>
    <col min="5" max="5" width="17.6640625" customWidth="1"/>
    <col min="6" max="6" width="15.5546875" customWidth="1"/>
    <col min="8" max="8" width="13.21875" bestFit="1" customWidth="1"/>
  </cols>
  <sheetData>
    <row r="1" spans="1:9" x14ac:dyDescent="0.3">
      <c r="A1" s="13" t="s">
        <v>20</v>
      </c>
      <c r="B1" s="8" t="s">
        <v>21</v>
      </c>
      <c r="C1" s="8" t="s">
        <v>19</v>
      </c>
      <c r="D1" s="8" t="s">
        <v>22</v>
      </c>
      <c r="E1" s="8" t="s">
        <v>23</v>
      </c>
      <c r="F1" s="9" t="s">
        <v>24</v>
      </c>
    </row>
    <row r="2" spans="1:9" x14ac:dyDescent="0.3">
      <c r="A2" s="6">
        <v>1</v>
      </c>
      <c r="B2" s="5" t="s">
        <v>0</v>
      </c>
      <c r="C2" s="5" t="s">
        <v>1</v>
      </c>
      <c r="D2" s="5" t="s">
        <v>2</v>
      </c>
      <c r="E2" s="5">
        <v>2</v>
      </c>
      <c r="F2" s="7">
        <v>2</v>
      </c>
      <c r="H2" s="14" t="s">
        <v>10</v>
      </c>
      <c r="I2" s="3">
        <v>13</v>
      </c>
    </row>
    <row r="3" spans="1:9" x14ac:dyDescent="0.3">
      <c r="A3" s="6">
        <v>2</v>
      </c>
      <c r="B3" s="5" t="s">
        <v>0</v>
      </c>
      <c r="C3" s="5" t="s">
        <v>3</v>
      </c>
      <c r="D3" s="5" t="s">
        <v>4</v>
      </c>
      <c r="E3" s="5">
        <v>3</v>
      </c>
      <c r="F3" s="7">
        <v>4</v>
      </c>
      <c r="H3" s="14" t="s">
        <v>11</v>
      </c>
      <c r="I3" s="3">
        <v>12</v>
      </c>
    </row>
    <row r="4" spans="1:9" x14ac:dyDescent="0.3">
      <c r="A4" s="6">
        <v>3</v>
      </c>
      <c r="B4" s="5" t="s">
        <v>0</v>
      </c>
      <c r="C4" s="5" t="s">
        <v>5</v>
      </c>
      <c r="D4" s="5" t="s">
        <v>6</v>
      </c>
      <c r="E4" s="5">
        <v>5</v>
      </c>
      <c r="F4" s="7">
        <v>8</v>
      </c>
    </row>
    <row r="5" spans="1:9" x14ac:dyDescent="0.3">
      <c r="A5" s="6">
        <v>4</v>
      </c>
      <c r="B5" s="5" t="s">
        <v>0</v>
      </c>
      <c r="C5" s="5" t="s">
        <v>7</v>
      </c>
      <c r="D5" s="5" t="s">
        <v>2</v>
      </c>
      <c r="E5" s="5">
        <v>6</v>
      </c>
      <c r="F5" s="7">
        <v>10</v>
      </c>
    </row>
    <row r="6" spans="1:9" x14ac:dyDescent="0.3">
      <c r="A6" s="6">
        <v>5</v>
      </c>
      <c r="B6" s="5" t="s">
        <v>8</v>
      </c>
      <c r="C6" s="5" t="s">
        <v>1</v>
      </c>
      <c r="D6" s="5" t="s">
        <v>4</v>
      </c>
      <c r="E6" s="5">
        <v>2</v>
      </c>
      <c r="F6" s="7">
        <v>5</v>
      </c>
    </row>
    <row r="7" spans="1:9" x14ac:dyDescent="0.3">
      <c r="A7" s="6">
        <v>6</v>
      </c>
      <c r="B7" s="5" t="s">
        <v>8</v>
      </c>
      <c r="C7" s="5" t="s">
        <v>3</v>
      </c>
      <c r="D7" s="5" t="s">
        <v>6</v>
      </c>
      <c r="E7" s="5">
        <v>3</v>
      </c>
      <c r="F7" s="7">
        <v>3</v>
      </c>
    </row>
    <row r="8" spans="1:9" x14ac:dyDescent="0.3">
      <c r="A8" s="6">
        <v>7</v>
      </c>
      <c r="B8" s="5" t="s">
        <v>8</v>
      </c>
      <c r="C8" s="5" t="s">
        <v>5</v>
      </c>
      <c r="D8" s="5" t="s">
        <v>6</v>
      </c>
      <c r="E8" s="5">
        <v>5</v>
      </c>
      <c r="F8" s="7">
        <v>10</v>
      </c>
    </row>
    <row r="9" spans="1:9" x14ac:dyDescent="0.3">
      <c r="A9" s="6">
        <v>8</v>
      </c>
      <c r="B9" s="5" t="s">
        <v>8</v>
      </c>
      <c r="C9" s="5" t="s">
        <v>7</v>
      </c>
      <c r="D9" s="5" t="s">
        <v>4</v>
      </c>
      <c r="E9" s="5">
        <v>6</v>
      </c>
      <c r="F9" s="7">
        <v>7</v>
      </c>
    </row>
    <row r="10" spans="1:9" x14ac:dyDescent="0.3">
      <c r="A10" s="6">
        <v>9</v>
      </c>
      <c r="B10" s="5" t="s">
        <v>9</v>
      </c>
      <c r="C10" s="5" t="s">
        <v>1</v>
      </c>
      <c r="D10" s="5" t="s">
        <v>6</v>
      </c>
      <c r="E10" s="5">
        <v>2</v>
      </c>
      <c r="F10" s="7">
        <v>8</v>
      </c>
    </row>
    <row r="11" spans="1:9" x14ac:dyDescent="0.3">
      <c r="A11" s="6">
        <v>10</v>
      </c>
      <c r="B11" s="5" t="s">
        <v>9</v>
      </c>
      <c r="C11" s="5" t="s">
        <v>3</v>
      </c>
      <c r="D11" s="5" t="s">
        <v>2</v>
      </c>
      <c r="E11" s="5">
        <v>3</v>
      </c>
      <c r="F11" s="7">
        <v>5</v>
      </c>
    </row>
    <row r="12" spans="1:9" x14ac:dyDescent="0.3">
      <c r="A12" s="6">
        <v>11</v>
      </c>
      <c r="B12" s="5" t="s">
        <v>9</v>
      </c>
      <c r="C12" s="5" t="s">
        <v>5</v>
      </c>
      <c r="D12" s="5" t="s">
        <v>4</v>
      </c>
      <c r="E12" s="5">
        <v>5</v>
      </c>
      <c r="F12" s="7">
        <v>5</v>
      </c>
    </row>
    <row r="13" spans="1:9" x14ac:dyDescent="0.3">
      <c r="A13" s="6">
        <v>12</v>
      </c>
      <c r="B13" s="5" t="s">
        <v>9</v>
      </c>
      <c r="C13" s="5" t="s">
        <v>7</v>
      </c>
      <c r="D13" s="5" t="s">
        <v>2</v>
      </c>
      <c r="E13" s="5">
        <v>6</v>
      </c>
      <c r="F13" s="7">
        <v>15</v>
      </c>
    </row>
    <row r="14" spans="1:9" x14ac:dyDescent="0.3">
      <c r="A14" s="10">
        <v>12</v>
      </c>
      <c r="B14" s="11" t="s">
        <v>9</v>
      </c>
      <c r="C14" s="11" t="s">
        <v>7</v>
      </c>
      <c r="D14" s="11" t="s">
        <v>2</v>
      </c>
      <c r="E14" s="11">
        <v>6</v>
      </c>
      <c r="F14" s="12">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22EE-A6A7-49A5-9E39-266E75C2F0DF}">
  <dimension ref="A1:F13"/>
  <sheetViews>
    <sheetView workbookViewId="0">
      <selection activeCell="C2" sqref="C2"/>
    </sheetView>
  </sheetViews>
  <sheetFormatPr defaultRowHeight="14.4" x14ac:dyDescent="0.3"/>
  <cols>
    <col min="1" max="2" width="14.21875" customWidth="1"/>
    <col min="3" max="3" width="19.109375" customWidth="1"/>
  </cols>
  <sheetData>
    <row r="1" spans="1:6" x14ac:dyDescent="0.3">
      <c r="A1" s="18" t="s">
        <v>19</v>
      </c>
      <c r="B1" s="17" t="s">
        <v>18</v>
      </c>
      <c r="C1" s="17" t="s">
        <v>25</v>
      </c>
      <c r="D1" s="16"/>
      <c r="E1" s="16"/>
      <c r="F1" s="16"/>
    </row>
    <row r="2" spans="1:6" x14ac:dyDescent="0.3">
      <c r="A2" s="1" t="s">
        <v>1</v>
      </c>
      <c r="B2" s="16" t="s">
        <v>12</v>
      </c>
      <c r="C2" s="16" t="s">
        <v>13</v>
      </c>
      <c r="D2" s="16"/>
      <c r="E2" s="16"/>
      <c r="F2" s="16"/>
    </row>
    <row r="3" spans="1:6" x14ac:dyDescent="0.3">
      <c r="A3" s="1" t="s">
        <v>3</v>
      </c>
      <c r="B3" s="16" t="s">
        <v>14</v>
      </c>
      <c r="C3" s="16" t="s">
        <v>13</v>
      </c>
      <c r="D3" s="16"/>
      <c r="E3" s="16"/>
      <c r="F3" s="16"/>
    </row>
    <row r="4" spans="1:6" x14ac:dyDescent="0.3">
      <c r="A4" s="1" t="s">
        <v>5</v>
      </c>
      <c r="B4" s="16" t="s">
        <v>15</v>
      </c>
      <c r="C4" s="16" t="s">
        <v>16</v>
      </c>
      <c r="D4" s="16"/>
      <c r="E4" s="16"/>
      <c r="F4" s="16"/>
    </row>
    <row r="5" spans="1:6" x14ac:dyDescent="0.3">
      <c r="A5" s="1" t="s">
        <v>7</v>
      </c>
      <c r="B5" s="16" t="s">
        <v>17</v>
      </c>
      <c r="C5" s="16" t="s">
        <v>16</v>
      </c>
      <c r="D5" s="16"/>
      <c r="E5" s="16"/>
      <c r="F5" s="16"/>
    </row>
    <row r="6" spans="1:6" x14ac:dyDescent="0.3">
      <c r="A6" s="15"/>
      <c r="B6" s="16"/>
      <c r="C6" s="16"/>
      <c r="D6" s="16"/>
      <c r="E6" s="16"/>
      <c r="F6" s="16"/>
    </row>
    <row r="7" spans="1:6" x14ac:dyDescent="0.3">
      <c r="A7" s="15"/>
      <c r="B7" s="16"/>
      <c r="C7" s="16"/>
      <c r="D7" s="16"/>
      <c r="E7" s="16"/>
      <c r="F7" s="16"/>
    </row>
    <row r="8" spans="1:6" x14ac:dyDescent="0.3">
      <c r="A8" s="15"/>
      <c r="B8" s="16"/>
      <c r="C8" s="16"/>
      <c r="D8" s="16"/>
      <c r="E8" s="16"/>
      <c r="F8" s="16"/>
    </row>
    <row r="9" spans="1:6" x14ac:dyDescent="0.3">
      <c r="A9" s="15"/>
      <c r="B9" s="16"/>
      <c r="C9" s="16"/>
      <c r="D9" s="16"/>
      <c r="E9" s="16"/>
      <c r="F9" s="16"/>
    </row>
    <row r="10" spans="1:6" x14ac:dyDescent="0.3">
      <c r="A10" s="15"/>
      <c r="B10" s="16"/>
      <c r="C10" s="16"/>
      <c r="D10" s="16"/>
      <c r="E10" s="16"/>
      <c r="F10" s="16"/>
    </row>
    <row r="11" spans="1:6" x14ac:dyDescent="0.3">
      <c r="A11" s="15"/>
      <c r="B11" s="16"/>
      <c r="C11" s="16"/>
      <c r="D11" s="16"/>
      <c r="E11" s="16"/>
      <c r="F11" s="16"/>
    </row>
    <row r="12" spans="1:6" x14ac:dyDescent="0.3">
      <c r="A12" s="15"/>
      <c r="B12" s="16"/>
      <c r="C12" s="16"/>
      <c r="D12" s="16"/>
      <c r="E12" s="16"/>
      <c r="F12" s="16"/>
    </row>
    <row r="13" spans="1:6" x14ac:dyDescent="0.3">
      <c r="A13" s="15"/>
      <c r="B13" s="16"/>
      <c r="C13" s="16"/>
      <c r="D13" s="16"/>
      <c r="E13" s="16"/>
      <c r="F13" s="1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E129-A421-45FF-B814-1CD1FE7A915A}">
  <dimension ref="A1:L13"/>
  <sheetViews>
    <sheetView workbookViewId="0">
      <selection activeCell="C12" sqref="C12"/>
    </sheetView>
  </sheetViews>
  <sheetFormatPr defaultRowHeight="14.4" x14ac:dyDescent="0.3"/>
  <cols>
    <col min="1" max="1" width="17.21875" customWidth="1"/>
    <col min="2" max="2" width="17.21875" style="26" customWidth="1"/>
    <col min="3" max="4" width="17.21875" customWidth="1"/>
    <col min="5" max="6" width="17.21875" style="23" customWidth="1"/>
    <col min="7" max="7" width="17.77734375" customWidth="1"/>
    <col min="8" max="8" width="15.6640625" customWidth="1"/>
    <col min="9" max="9" width="16.109375" customWidth="1"/>
    <col min="10" max="10" width="15.21875" customWidth="1"/>
    <col min="11" max="11" width="14.21875" customWidth="1"/>
  </cols>
  <sheetData>
    <row r="1" spans="1:12" x14ac:dyDescent="0.3">
      <c r="A1" s="19" t="s">
        <v>20</v>
      </c>
      <c r="B1" s="24" t="s">
        <v>21</v>
      </c>
      <c r="C1" s="8" t="s">
        <v>19</v>
      </c>
      <c r="D1" s="8" t="s">
        <v>22</v>
      </c>
      <c r="E1" s="20" t="s">
        <v>23</v>
      </c>
      <c r="F1" s="21" t="s">
        <v>24</v>
      </c>
      <c r="G1" s="8" t="s">
        <v>25</v>
      </c>
      <c r="H1" s="8" t="s">
        <v>26</v>
      </c>
      <c r="I1" s="8" t="s">
        <v>18</v>
      </c>
    </row>
    <row r="2" spans="1:12" x14ac:dyDescent="0.3">
      <c r="A2" s="4">
        <v>1</v>
      </c>
      <c r="B2" s="25" t="s">
        <v>0</v>
      </c>
      <c r="C2" s="5" t="s">
        <v>1</v>
      </c>
      <c r="D2" s="5" t="s">
        <v>2</v>
      </c>
      <c r="E2" s="22">
        <v>2</v>
      </c>
      <c r="F2" s="22">
        <v>2</v>
      </c>
      <c r="G2" s="5" t="str">
        <f>INDEX(lookup[Service_Type],MATCH(C2,lookup[Route_id],0))</f>
        <v>Express</v>
      </c>
      <c r="H2" s="27">
        <f>MAX(clean[[#This Row],[Actual_Days]]-clean[[#This Row],[Promised_Days]],0)</f>
        <v>0</v>
      </c>
      <c r="I2" s="5" t="str">
        <f>INDEX(lookup[Route],MATCH(C2,lookup[Route_id],0))</f>
        <v>Metro Link</v>
      </c>
      <c r="K2" s="14" t="s">
        <v>28</v>
      </c>
      <c r="L2" s="3">
        <f>COUNT(clean[Record_id])</f>
        <v>12</v>
      </c>
    </row>
    <row r="3" spans="1:12" x14ac:dyDescent="0.3">
      <c r="A3" s="4">
        <v>2</v>
      </c>
      <c r="B3" s="25" t="s">
        <v>0</v>
      </c>
      <c r="C3" s="5" t="s">
        <v>3</v>
      </c>
      <c r="D3" s="5" t="s">
        <v>4</v>
      </c>
      <c r="E3" s="22">
        <v>3</v>
      </c>
      <c r="F3" s="22">
        <v>4</v>
      </c>
      <c r="G3" s="5" t="str">
        <f>INDEX(lookup[Service_Type],MATCH(C3,lookup[Route_id],0))</f>
        <v>Express</v>
      </c>
      <c r="H3" s="5">
        <f>MAX(clean[[#This Row],[Actual_Days]]-clean[[#This Row],[Promised_Days]],0)</f>
        <v>1</v>
      </c>
      <c r="I3" s="5" t="str">
        <f>INDEX(lookup[Route],MATCH(C3,lookup[Route_id],0))</f>
        <v>City Dash</v>
      </c>
      <c r="K3" s="14" t="s">
        <v>27</v>
      </c>
      <c r="L3" s="3">
        <v>12</v>
      </c>
    </row>
    <row r="4" spans="1:12" x14ac:dyDescent="0.3">
      <c r="A4" s="4">
        <v>3</v>
      </c>
      <c r="B4" s="25" t="s">
        <v>0</v>
      </c>
      <c r="C4" s="5" t="s">
        <v>5</v>
      </c>
      <c r="D4" s="5" t="s">
        <v>6</v>
      </c>
      <c r="E4" s="22">
        <v>5</v>
      </c>
      <c r="F4" s="22">
        <v>8</v>
      </c>
      <c r="G4" s="5" t="str">
        <f>INDEX(lookup[Service_Type],MATCH(C4,lookup[Route_id],0))</f>
        <v>Standard</v>
      </c>
      <c r="H4" s="5">
        <f>MAX(clean[[#This Row],[Actual_Days]]-clean[[#This Row],[Promised_Days]],0)</f>
        <v>3</v>
      </c>
      <c r="I4" s="5" t="str">
        <f>INDEX(lookup[Route],MATCH(C4,lookup[Route_id],0))</f>
        <v>Highway Freight</v>
      </c>
    </row>
    <row r="5" spans="1:12" x14ac:dyDescent="0.3">
      <c r="A5" s="4">
        <v>4</v>
      </c>
      <c r="B5" s="25" t="s">
        <v>0</v>
      </c>
      <c r="C5" s="5" t="s">
        <v>7</v>
      </c>
      <c r="D5" s="5" t="s">
        <v>2</v>
      </c>
      <c r="E5" s="22">
        <v>6</v>
      </c>
      <c r="F5" s="22">
        <v>10</v>
      </c>
      <c r="G5" s="5" t="str">
        <f>INDEX(lookup[Service_Type],MATCH(C5,lookup[Route_id],0))</f>
        <v>Standard</v>
      </c>
      <c r="H5" s="5">
        <f>MAX(clean[[#This Row],[Actual_Days]]-clean[[#This Row],[Promised_Days]],0)</f>
        <v>4</v>
      </c>
      <c r="I5" s="5" t="str">
        <f>INDEX(lookup[Route],MATCH(C5,lookup[Route_id],0))</f>
        <v>Rural Feeder</v>
      </c>
    </row>
    <row r="6" spans="1:12" x14ac:dyDescent="0.3">
      <c r="A6" s="4">
        <v>5</v>
      </c>
      <c r="B6" s="25" t="s">
        <v>8</v>
      </c>
      <c r="C6" s="5" t="s">
        <v>1</v>
      </c>
      <c r="D6" s="5" t="s">
        <v>4</v>
      </c>
      <c r="E6" s="22">
        <v>2</v>
      </c>
      <c r="F6" s="22">
        <v>5</v>
      </c>
      <c r="G6" s="5" t="str">
        <f>INDEX(lookup[Service_Type],MATCH(C6,lookup[Route_id],0))</f>
        <v>Express</v>
      </c>
      <c r="H6" s="5">
        <f>MAX(clean[[#This Row],[Actual_Days]]-clean[[#This Row],[Promised_Days]],0)</f>
        <v>3</v>
      </c>
      <c r="I6" s="5" t="str">
        <f>INDEX(lookup[Route],MATCH(C6,lookup[Route_id],0))</f>
        <v>Metro Link</v>
      </c>
    </row>
    <row r="7" spans="1:12" x14ac:dyDescent="0.3">
      <c r="A7" s="4">
        <v>6</v>
      </c>
      <c r="B7" s="25" t="s">
        <v>8</v>
      </c>
      <c r="C7" s="5" t="s">
        <v>3</v>
      </c>
      <c r="D7" s="5" t="s">
        <v>6</v>
      </c>
      <c r="E7" s="22">
        <v>3</v>
      </c>
      <c r="F7" s="22">
        <v>3</v>
      </c>
      <c r="G7" s="5" t="str">
        <f>INDEX(lookup[Service_Type],MATCH(C7,lookup[Route_id],0))</f>
        <v>Express</v>
      </c>
      <c r="H7" s="5">
        <f>MAX(clean[[#This Row],[Actual_Days]]-clean[[#This Row],[Promised_Days]],0)</f>
        <v>0</v>
      </c>
      <c r="I7" s="5" t="str">
        <f>INDEX(lookup[Route],MATCH(C7,lookup[Route_id],0))</f>
        <v>City Dash</v>
      </c>
    </row>
    <row r="8" spans="1:12" x14ac:dyDescent="0.3">
      <c r="A8" s="4">
        <v>7</v>
      </c>
      <c r="B8" s="25" t="s">
        <v>8</v>
      </c>
      <c r="C8" s="5" t="s">
        <v>5</v>
      </c>
      <c r="D8" s="5" t="s">
        <v>6</v>
      </c>
      <c r="E8" s="22">
        <v>5</v>
      </c>
      <c r="F8" s="22">
        <v>10</v>
      </c>
      <c r="G8" s="5" t="str">
        <f>INDEX(lookup[Service_Type],MATCH(C8,lookup[Route_id],0))</f>
        <v>Standard</v>
      </c>
      <c r="H8" s="5">
        <f>MAX(clean[[#This Row],[Actual_Days]]-clean[[#This Row],[Promised_Days]],0)</f>
        <v>5</v>
      </c>
      <c r="I8" s="5" t="str">
        <f>INDEX(lookup[Route],MATCH(C8,lookup[Route_id],0))</f>
        <v>Highway Freight</v>
      </c>
    </row>
    <row r="9" spans="1:12" x14ac:dyDescent="0.3">
      <c r="A9" s="4">
        <v>8</v>
      </c>
      <c r="B9" s="25" t="s">
        <v>8</v>
      </c>
      <c r="C9" s="5" t="s">
        <v>7</v>
      </c>
      <c r="D9" s="5" t="s">
        <v>4</v>
      </c>
      <c r="E9" s="22">
        <v>6</v>
      </c>
      <c r="F9" s="22">
        <v>7</v>
      </c>
      <c r="G9" s="5" t="str">
        <f>INDEX(lookup[Service_Type],MATCH(C9,lookup[Route_id],0))</f>
        <v>Standard</v>
      </c>
      <c r="H9" s="5">
        <f>MAX(clean[[#This Row],[Actual_Days]]-clean[[#This Row],[Promised_Days]],0)</f>
        <v>1</v>
      </c>
      <c r="I9" s="5" t="str">
        <f>INDEX(lookup[Route],MATCH(C9,lookup[Route_id],0))</f>
        <v>Rural Feeder</v>
      </c>
    </row>
    <row r="10" spans="1:12" x14ac:dyDescent="0.3">
      <c r="A10" s="4">
        <v>9</v>
      </c>
      <c r="B10" s="25" t="s">
        <v>9</v>
      </c>
      <c r="C10" s="5" t="s">
        <v>1</v>
      </c>
      <c r="D10" s="5" t="s">
        <v>6</v>
      </c>
      <c r="E10" s="22">
        <v>2</v>
      </c>
      <c r="F10" s="22">
        <v>8</v>
      </c>
      <c r="G10" s="5" t="str">
        <f>INDEX(lookup[Service_Type],MATCH(C10,lookup[Route_id],0))</f>
        <v>Express</v>
      </c>
      <c r="H10" s="5">
        <f>MAX(clean[[#This Row],[Actual_Days]]-clean[[#This Row],[Promised_Days]],0)</f>
        <v>6</v>
      </c>
      <c r="I10" s="5" t="str">
        <f>INDEX(lookup[Route],MATCH(C10,lookup[Route_id],0))</f>
        <v>Metro Link</v>
      </c>
    </row>
    <row r="11" spans="1:12" x14ac:dyDescent="0.3">
      <c r="A11" s="4">
        <v>10</v>
      </c>
      <c r="B11" s="25" t="s">
        <v>9</v>
      </c>
      <c r="C11" s="5" t="s">
        <v>3</v>
      </c>
      <c r="D11" s="5" t="s">
        <v>2</v>
      </c>
      <c r="E11" s="22">
        <v>3</v>
      </c>
      <c r="F11" s="22">
        <v>5</v>
      </c>
      <c r="G11" s="5" t="str">
        <f>INDEX(lookup[Service_Type],MATCH(C11,lookup[Route_id],0))</f>
        <v>Express</v>
      </c>
      <c r="H11" s="5">
        <f>MAX(clean[[#This Row],[Actual_Days]]-clean[[#This Row],[Promised_Days]],0)</f>
        <v>2</v>
      </c>
      <c r="I11" s="5" t="str">
        <f>INDEX(lookup[Route],MATCH(C11,lookup[Route_id],0))</f>
        <v>City Dash</v>
      </c>
    </row>
    <row r="12" spans="1:12" x14ac:dyDescent="0.3">
      <c r="A12" s="4">
        <v>11</v>
      </c>
      <c r="B12" s="25" t="s">
        <v>9</v>
      </c>
      <c r="C12" s="5" t="s">
        <v>5</v>
      </c>
      <c r="D12" s="5" t="s">
        <v>4</v>
      </c>
      <c r="E12" s="22">
        <v>5</v>
      </c>
      <c r="F12" s="22">
        <v>5</v>
      </c>
      <c r="G12" s="5" t="str">
        <f>INDEX(lookup[Service_Type],MATCH(C12,lookup[Route_id],0))</f>
        <v>Standard</v>
      </c>
      <c r="H12" s="5">
        <f>MAX(clean[[#This Row],[Actual_Days]]-clean[[#This Row],[Promised_Days]],0)</f>
        <v>0</v>
      </c>
      <c r="I12" s="5" t="str">
        <f>INDEX(lookup[Route],MATCH(C12,lookup[Route_id],0))</f>
        <v>Highway Freight</v>
      </c>
    </row>
    <row r="13" spans="1:12" x14ac:dyDescent="0.3">
      <c r="A13" s="4">
        <v>12</v>
      </c>
      <c r="B13" s="25" t="s">
        <v>9</v>
      </c>
      <c r="C13" s="5" t="s">
        <v>7</v>
      </c>
      <c r="D13" s="5" t="s">
        <v>2</v>
      </c>
      <c r="E13" s="22">
        <v>6</v>
      </c>
      <c r="F13" s="22">
        <v>15</v>
      </c>
      <c r="G13" s="5" t="str">
        <f>INDEX(lookup[Service_Type],MATCH(C13,lookup[Route_id],0))</f>
        <v>Standard</v>
      </c>
      <c r="H13" s="5">
        <f>MAX(clean[[#This Row],[Actual_Days]]-clean[[#This Row],[Promised_Days]],0)</f>
        <v>9</v>
      </c>
      <c r="I13" s="5" t="str">
        <f>INDEX(lookup[Route],MATCH(C13,lookup[Route_id],0))</f>
        <v>Rural Feeder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7A44-D1C5-4443-BE80-CC26F0CB5468}">
  <dimension ref="A1:L6"/>
  <sheetViews>
    <sheetView workbookViewId="0">
      <selection activeCell="K3" sqref="K3"/>
    </sheetView>
  </sheetViews>
  <sheetFormatPr defaultRowHeight="14.4" x14ac:dyDescent="0.3"/>
  <cols>
    <col min="1" max="1" width="10.44140625" customWidth="1"/>
    <col min="2" max="2" width="14.5546875" customWidth="1"/>
    <col min="4" max="4" width="15.44140625" bestFit="1" customWidth="1"/>
    <col min="5" max="5" width="11.44140625" bestFit="1" customWidth="1"/>
    <col min="6" max="7" width="4.109375" bestFit="1" customWidth="1"/>
    <col min="8" max="8" width="10.5546875" bestFit="1" customWidth="1"/>
    <col min="11" max="11" width="12.44140625" bestFit="1" customWidth="1"/>
    <col min="12" max="12" width="16.5546875" bestFit="1" customWidth="1"/>
  </cols>
  <sheetData>
    <row r="1" spans="1:12" x14ac:dyDescent="0.3">
      <c r="A1" s="50" t="s">
        <v>29</v>
      </c>
      <c r="B1" s="51"/>
    </row>
    <row r="2" spans="1:12" x14ac:dyDescent="0.3">
      <c r="A2" t="s">
        <v>22</v>
      </c>
      <c r="B2" t="s">
        <v>26</v>
      </c>
      <c r="D2" s="31" t="s">
        <v>32</v>
      </c>
      <c r="E2" s="31" t="s">
        <v>33</v>
      </c>
      <c r="F2" s="44"/>
      <c r="G2" s="45"/>
      <c r="H2" s="46"/>
      <c r="K2" s="38" t="s">
        <v>30</v>
      </c>
      <c r="L2" s="43" t="s">
        <v>34</v>
      </c>
    </row>
    <row r="3" spans="1:12" x14ac:dyDescent="0.3">
      <c r="A3" s="28" t="s">
        <v>2</v>
      </c>
      <c r="B3" s="2">
        <f>SUMIF(clean[HUB], Table4[[#This Row],[HUB]], clean[Delay_Days])</f>
        <v>15</v>
      </c>
      <c r="D3" s="31" t="s">
        <v>30</v>
      </c>
      <c r="E3" s="3" t="s">
        <v>0</v>
      </c>
      <c r="F3" s="46" t="s">
        <v>8</v>
      </c>
      <c r="G3" s="46" t="s">
        <v>9</v>
      </c>
      <c r="H3" s="3" t="s">
        <v>31</v>
      </c>
      <c r="K3" s="41" t="s">
        <v>0</v>
      </c>
      <c r="L3" s="39">
        <v>8</v>
      </c>
    </row>
    <row r="4" spans="1:12" x14ac:dyDescent="0.3">
      <c r="A4" s="29" t="s">
        <v>4</v>
      </c>
      <c r="B4" s="2">
        <f>SUMIF(clean[HUB], Table4[[#This Row],[HUB]], clean[Delay_Days])</f>
        <v>5</v>
      </c>
      <c r="D4" s="28" t="s">
        <v>13</v>
      </c>
      <c r="E4" s="32">
        <v>1</v>
      </c>
      <c r="F4" s="32">
        <v>3</v>
      </c>
      <c r="G4" s="47">
        <v>8</v>
      </c>
      <c r="H4" s="33">
        <v>12</v>
      </c>
      <c r="K4" s="41" t="s">
        <v>8</v>
      </c>
      <c r="L4" s="39">
        <v>9</v>
      </c>
    </row>
    <row r="5" spans="1:12" x14ac:dyDescent="0.3">
      <c r="A5" s="30" t="s">
        <v>6</v>
      </c>
      <c r="B5" s="2">
        <f>SUMIF(clean[HUB], Table4[[#This Row],[HUB]], clean[Delay_Days])</f>
        <v>14</v>
      </c>
      <c r="D5" s="30" t="s">
        <v>16</v>
      </c>
      <c r="E5" s="34">
        <v>7</v>
      </c>
      <c r="F5" s="34">
        <v>6</v>
      </c>
      <c r="G5" s="48">
        <v>9</v>
      </c>
      <c r="H5" s="35">
        <v>22</v>
      </c>
      <c r="K5" s="42" t="s">
        <v>9</v>
      </c>
      <c r="L5" s="39">
        <v>17</v>
      </c>
    </row>
    <row r="6" spans="1:12" x14ac:dyDescent="0.3">
      <c r="D6" s="3" t="s">
        <v>31</v>
      </c>
      <c r="E6" s="36">
        <v>8</v>
      </c>
      <c r="F6" s="36">
        <v>9</v>
      </c>
      <c r="G6" s="49">
        <v>17</v>
      </c>
      <c r="H6" s="37">
        <v>34</v>
      </c>
      <c r="K6" s="42" t="s">
        <v>31</v>
      </c>
      <c r="L6" s="40">
        <v>34</v>
      </c>
    </row>
  </sheetData>
  <mergeCells count="1">
    <mergeCell ref="A1:B1"/>
  </mergeCells>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771D-1E68-4879-8FF7-466AD0F5D197}">
  <dimension ref="A1"/>
  <sheetViews>
    <sheetView tabSelected="1" zoomScale="65" zoomScaleNormal="65" workbookViewId="0">
      <selection activeCell="Y18" sqref="Y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Lookup</vt:lpstr>
      <vt:lpstr>Clean</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 D</dc:creator>
  <cp:lastModifiedBy>Tirth D</cp:lastModifiedBy>
  <dcterms:created xsi:type="dcterms:W3CDTF">2026-10-03T04:35:46Z</dcterms:created>
  <dcterms:modified xsi:type="dcterms:W3CDTF">2026-10-03T07:39:41Z</dcterms:modified>
</cp:coreProperties>
</file>